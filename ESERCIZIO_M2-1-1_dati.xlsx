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3EC69BD-3FC3-4187-9F90-144B9A15EE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Fatture!$A$1:$X$80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C2" i="2" l="1"/>
  <c r="D2" i="1"/>
  <c r="D3" i="1"/>
  <c r="I3" i="3"/>
  <c r="I4" i="3"/>
  <c r="I5" i="3"/>
  <c r="I2" i="3"/>
  <c r="I10" i="3"/>
  <c r="I11" i="3"/>
  <c r="I12" i="3"/>
  <c r="I13" i="3"/>
  <c r="I14" i="3"/>
  <c r="I15" i="3"/>
  <c r="I9" i="3"/>
  <c r="H10" i="3"/>
  <c r="H11" i="3"/>
  <c r="H12" i="3"/>
  <c r="H13" i="3"/>
  <c r="H14" i="3"/>
  <c r="H15" i="3"/>
  <c r="H9" i="3"/>
  <c r="H5" i="3"/>
  <c r="H4" i="3"/>
  <c r="H3" i="3"/>
  <c r="H2" i="3"/>
  <c r="C3" i="2"/>
  <c r="C4" i="2"/>
  <c r="C5" i="2"/>
  <c r="C6" i="2"/>
  <c r="C7" i="2"/>
  <c r="C8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</calcChain>
</file>

<file path=xl/sharedStrings.xml><?xml version="1.0" encoding="utf-8"?>
<sst xmlns="http://schemas.openxmlformats.org/spreadsheetml/2006/main" count="823" uniqueCount="582">
  <si>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</si>
  <si>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</si>
  <si>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</si>
  <si>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</si>
  <si>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</si>
  <si>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</si>
  <si>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</si>
  <si>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</si>
  <si>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</si>
  <si>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</si>
  <si>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</si>
  <si>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</si>
  <si>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</si>
  <si>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</si>
  <si>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</si>
  <si>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</si>
  <si>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</si>
  <si>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</si>
  <si>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</si>
  <si>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</si>
  <si>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</si>
  <si>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</si>
  <si>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</si>
  <si>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</si>
  <si>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</si>
  <si>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</si>
  <si>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</si>
  <si>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</si>
  <si>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</si>
  <si>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</si>
  <si>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</si>
  <si>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</si>
  <si>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</si>
  <si>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</si>
  <si>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</si>
  <si>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</si>
  <si>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</si>
  <si>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</si>
  <si>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</si>
  <si>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</si>
  <si>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</si>
  <si>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</si>
  <si>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</si>
  <si>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</si>
  <si>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</si>
  <si>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</si>
  <si>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</si>
  <si>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</si>
  <si>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</si>
  <si>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</si>
  <si>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</si>
  <si>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</si>
  <si>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</si>
  <si>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</si>
  <si>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</si>
  <si>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</si>
  <si>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</si>
  <si>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</si>
  <si>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</si>
  <si>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</si>
  <si>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</si>
  <si>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</si>
  <si>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</si>
  <si>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</si>
  <si>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</si>
  <si>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</si>
  <si>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</si>
  <si>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</si>
  <si>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</si>
  <si>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</si>
  <si>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</si>
  <si>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</si>
  <si>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</si>
  <si>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</si>
  <si>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</si>
  <si>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</si>
  <si>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</si>
  <si>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</si>
  <si>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</si>
  <si>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</si>
  <si>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</si>
  <si>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</si>
  <si>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</si>
  <si>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</si>
  <si>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</si>
  <si>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</si>
  <si>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</si>
  <si>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</si>
  <si>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</si>
  <si>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</si>
  <si>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</si>
  <si>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</si>
  <si>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</si>
  <si>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</si>
  <si>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</si>
  <si>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</si>
  <si>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</si>
  <si>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</si>
  <si>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</si>
  <si>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</si>
  <si>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</si>
  <si>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</si>
  <si>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</si>
  <si>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</si>
  <si>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</si>
  <si>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</si>
  <si>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</si>
  <si>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</si>
  <si>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</si>
  <si>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</si>
  <si>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</si>
  <si>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</si>
  <si>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</si>
  <si>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</si>
  <si>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</si>
  <si>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</si>
  <si>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</si>
  <si>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</si>
  <si>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</si>
  <si>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</si>
  <si>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</si>
  <si>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</si>
  <si>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</si>
  <si>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</si>
  <si>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</si>
  <si>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</si>
  <si>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</si>
  <si>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</si>
  <si>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</si>
  <si>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</si>
  <si>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</si>
  <si>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</si>
  <si>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</si>
  <si>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</si>
  <si>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</si>
  <si>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</si>
  <si>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</si>
  <si>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</si>
  <si>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</si>
  <si>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</si>
  <si>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</si>
  <si>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</si>
  <si>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</si>
  <si>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</si>
  <si>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</si>
  <si>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</si>
  <si>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</si>
  <si>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</si>
  <si>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</si>
  <si>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</si>
  <si>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</si>
  <si>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</si>
  <si>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</si>
  <si>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</si>
  <si>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</si>
  <si>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</si>
  <si>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</si>
  <si>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</si>
  <si>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</si>
  <si>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</si>
  <si>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</si>
  <si>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</si>
  <si>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</si>
  <si>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</si>
  <si>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</si>
  <si>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</si>
  <si>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</si>
  <si>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</si>
  <si>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</si>
  <si>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</si>
  <si>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</si>
  <si>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</si>
  <si>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</si>
  <si>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</si>
  <si>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</si>
  <si>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</si>
  <si>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</si>
  <si>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</si>
  <si>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</si>
  <si>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</si>
  <si>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</si>
  <si>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</si>
  <si>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</si>
  <si>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</si>
  <si>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</si>
  <si>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</si>
  <si>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</si>
  <si>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</si>
  <si>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</si>
  <si>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</si>
  <si>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</si>
  <si>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</si>
  <si>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</si>
  <si>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</si>
  <si>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</si>
  <si>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</si>
  <si>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</si>
  <si>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</si>
  <si>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</si>
  <si>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</si>
  <si>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</si>
  <si>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</si>
  <si>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</si>
  <si>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</si>
  <si>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</si>
  <si>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</si>
  <si>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</si>
  <si>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</si>
  <si>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</si>
  <si>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</si>
  <si>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</si>
  <si>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</si>
  <si>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</si>
  <si>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</si>
  <si>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</si>
  <si>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</si>
  <si>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</si>
  <si>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</si>
  <si>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</si>
  <si>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</si>
  <si>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</si>
  <si>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</si>
  <si>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</si>
  <si>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</si>
  <si>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</si>
  <si>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</si>
  <si>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</si>
  <si>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</si>
  <si>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</si>
  <si>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</si>
  <si>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</si>
  <si>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</si>
  <si>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</si>
  <si>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</si>
  <si>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</si>
  <si>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</si>
  <si>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</si>
  <si>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</si>
  <si>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</si>
  <si>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</si>
  <si>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</si>
  <si>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</si>
  <si>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</si>
  <si>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</si>
  <si>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</si>
  <si>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</si>
  <si>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</si>
  <si>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</si>
  <si>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</si>
  <si>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</si>
  <si>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</si>
  <si>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</si>
  <si>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</si>
  <si>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</si>
  <si>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</si>
  <si>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</si>
  <si>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</si>
  <si>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</si>
  <si>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</si>
  <si>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</si>
  <si>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</si>
  <si>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</si>
  <si>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</si>
  <si>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</si>
  <si>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</si>
  <si>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</si>
  <si>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</si>
  <si>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</si>
  <si>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</si>
  <si>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</si>
  <si>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</si>
  <si>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</si>
  <si>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</si>
  <si>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</si>
  <si>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</si>
  <si>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</si>
  <si>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</si>
  <si>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</si>
  <si>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</si>
  <si>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</si>
  <si>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</si>
  <si>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</si>
  <si>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</si>
  <si>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</si>
  <si>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</si>
  <si>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</si>
  <si>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</si>
  <si>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</si>
  <si>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</si>
  <si>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</si>
  <si>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</si>
  <si>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</si>
  <si>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</si>
  <si>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</si>
  <si>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</si>
  <si>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</si>
  <si>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</si>
  <si>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</si>
  <si>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</si>
  <si>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</si>
  <si>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</si>
  <si>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</si>
  <si>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</si>
  <si>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</si>
  <si>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</si>
  <si>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</si>
  <si>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</si>
  <si>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</si>
  <si>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</si>
  <si>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</si>
  <si>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</si>
  <si>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</si>
  <si>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</si>
  <si>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</si>
  <si>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</si>
  <si>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</si>
  <si>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</si>
  <si>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</si>
  <si>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</si>
  <si>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</si>
  <si>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</si>
  <si>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</si>
  <si>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</si>
  <si>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</si>
  <si>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</si>
  <si>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</si>
  <si>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</si>
  <si>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</si>
  <si>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</si>
  <si>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</si>
  <si>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</si>
  <si>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</si>
  <si>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</si>
  <si>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</si>
  <si>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</si>
  <si>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</si>
  <si>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</si>
  <si>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</si>
  <si>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</si>
  <si>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</si>
  <si>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</si>
  <si>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</si>
  <si>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</si>
  <si>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</si>
  <si>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</si>
  <si>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</si>
  <si>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</si>
  <si>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</si>
  <si>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</si>
  <si>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</si>
  <si>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</si>
  <si>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</si>
  <si>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</si>
  <si>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</si>
  <si>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</si>
  <si>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</si>
  <si>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</si>
  <si>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</si>
  <si>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</si>
  <si>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</si>
  <si>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</si>
  <si>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</si>
  <si>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</si>
  <si>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</si>
  <si>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</si>
  <si>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</si>
  <si>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</si>
  <si>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</si>
  <si>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</si>
  <si>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</si>
  <si>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</si>
  <si>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</si>
  <si>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</si>
  <si>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</si>
  <si>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</si>
  <si>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</si>
  <si>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</si>
  <si>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</si>
  <si>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</si>
  <si>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</si>
  <si>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</si>
  <si>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</si>
  <si>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</si>
  <si>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</si>
  <si>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</si>
  <si>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</si>
  <si>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</si>
  <si>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</si>
  <si>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</si>
  <si>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</si>
  <si>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</si>
  <si>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</si>
  <si>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</si>
  <si>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</si>
  <si>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</si>
  <si>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</si>
  <si>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</si>
  <si>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</si>
  <si>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</si>
  <si>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</si>
  <si>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</si>
  <si>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</si>
  <si>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</si>
  <si>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</si>
  <si>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</si>
  <si>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</si>
  <si>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</si>
  <si>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</si>
  <si>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</si>
  <si>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</si>
  <si>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</si>
  <si>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</si>
  <si>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</si>
  <si>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</si>
  <si>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</si>
  <si>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</si>
  <si>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</si>
  <si>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</si>
  <si>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</si>
  <si>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</si>
  <si>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</si>
  <si>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</si>
  <si>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</si>
  <si>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</si>
  <si>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</si>
  <si>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</si>
  <si>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</si>
  <si>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</si>
  <si>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</si>
  <si>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</si>
  <si>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</si>
  <si>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</si>
  <si>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</si>
  <si>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</si>
  <si>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</si>
  <si>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</si>
  <si>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</si>
  <si>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</si>
  <si>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</si>
  <si>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</si>
  <si>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</si>
  <si>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</si>
  <si>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</si>
  <si>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</si>
  <si>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</si>
  <si>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</si>
  <si>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</si>
  <si>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</si>
  <si>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</si>
  <si>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</si>
  <si>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</si>
  <si>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</si>
  <si>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</si>
  <si>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</si>
  <si>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</si>
  <si>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</si>
  <si>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</si>
  <si>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</si>
  <si>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</si>
  <si>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</si>
  <si>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</si>
  <si>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</si>
  <si>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</si>
  <si>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</si>
  <si>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</si>
  <si>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</si>
  <si>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</si>
  <si>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</si>
  <si>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</si>
  <si>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</si>
  <si>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</si>
  <si>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</si>
  <si>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</si>
  <si>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</si>
  <si>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</si>
  <si>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</si>
  <si>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</si>
  <si>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</si>
  <si>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</si>
  <si>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</si>
  <si>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</si>
  <si>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</si>
  <si>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</si>
  <si>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</si>
  <si>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</si>
  <si>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</si>
  <si>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</si>
  <si>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</si>
  <si>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</si>
  <si>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</si>
  <si>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</si>
  <si>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</si>
  <si>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</si>
  <si>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</si>
  <si>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</si>
  <si>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</si>
  <si>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</si>
  <si>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</si>
  <si>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</si>
  <si>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</si>
  <si>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</si>
  <si>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</si>
  <si>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</si>
  <si>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</si>
  <si>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</si>
  <si>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</si>
  <si>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</si>
  <si>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</si>
  <si>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</si>
  <si>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</si>
  <si>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</si>
  <si>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</si>
  <si>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</si>
  <si>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</si>
  <si>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</si>
  <si>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</si>
  <si>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</si>
  <si>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</si>
  <si>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</si>
  <si>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</si>
  <si>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</si>
  <si>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</si>
  <si>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</si>
  <si>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</si>
  <si>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</si>
  <si>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</si>
  <si>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</si>
  <si>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</si>
  <si>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</si>
  <si>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</si>
  <si>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</si>
  <si>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</si>
  <si>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</si>
  <si>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</si>
  <si>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</si>
  <si>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</si>
  <si>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</si>
  <si>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</si>
  <si>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</si>
  <si>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</si>
  <si>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</si>
  <si>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</si>
  <si>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</si>
  <si>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</si>
  <si>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</si>
  <si>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</si>
  <si>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</si>
  <si>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</si>
  <si>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</si>
  <si>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</si>
  <si>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</si>
  <si>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</si>
  <si>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</si>
  <si>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</si>
  <si>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</si>
  <si>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</si>
  <si>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</si>
  <si>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</si>
  <si>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</si>
  <si>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</si>
  <si>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</si>
  <si>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</si>
  <si>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</si>
  <si>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</si>
  <si>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</si>
  <si>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</si>
  <si>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</si>
  <si>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</si>
  <si>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</si>
  <si>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</si>
  <si>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MONITOR+DESC</t>
  </si>
  <si>
    <t>ESITO</t>
  </si>
  <si>
    <t>PUNTEGGIO</t>
  </si>
  <si>
    <t>GIUDIZIO</t>
  </si>
  <si>
    <t>BUONO</t>
  </si>
  <si>
    <t>SUFFICIENTE</t>
  </si>
  <si>
    <t>DISCRETO</t>
  </si>
  <si>
    <t>RESPINTO</t>
  </si>
  <si>
    <t>CATEGORIA</t>
  </si>
  <si>
    <t>N.FATTURE</t>
  </si>
  <si>
    <t>CLIENTI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</si>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</sst>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[$€-2]\ #,##0.00;[Red]\-[$€-2]\ #,##0.00"/>
  </numFmts>
  <fonts count="8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8" fontId="0" fillId="0" borderId="0" xfId="0" applyNumberFormat="1"/>
    <xf numFmtId="44" fontId="0" fillId="0" borderId="0" xfId="0" applyNumberFormat="1"/>
  </cellXfs>
  <cellStyles count="1">
    <cellStyle name="Normale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3" width="27.296875" customWidth="1"/>
    <col min="4" max="4" width="15.796875" bestFit="1" customWidth="1"/>
    <col min="5" max="5" width="97.09765625" bestFit="1" customWidth="1"/>
    <col min="6" max="6" width="5.59765625" customWidth="1"/>
    <col min="7" max="7" width="7.09765625" customWidth="1"/>
    <col min="8" max="26" width="8.6992187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 t="e">
        <f>SE</f>
        <v>#NAME?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>C3*20%</f>
        <v>64600</v>
      </c>
      <c r="E3" s="4" t="str">
        <f t="shared" ref="E3:E66" si="0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ref="D3:D66" si="1">C4*20%</f>
        <v>68800</v>
      </c>
      <c r="E4" s="4" t="str">
        <f t="shared" si="0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1"/>
        <v>72200</v>
      </c>
      <c r="E5" s="4" t="str">
        <f t="shared" si="0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1"/>
        <v>104200</v>
      </c>
      <c r="E6" s="4" t="str">
        <f t="shared" si="0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1"/>
        <v>105400</v>
      </c>
      <c r="E7" s="4" t="str">
        <f t="shared" si="0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1"/>
        <v>125200</v>
      </c>
      <c r="E8" s="4" t="str">
        <f t="shared" si="0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1"/>
        <v>131200</v>
      </c>
      <c r="E9" s="4" t="str">
        <f t="shared" si="0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1"/>
        <v>133200</v>
      </c>
      <c r="E10" s="4" t="str">
        <f t="shared" si="0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1"/>
        <v>176400</v>
      </c>
      <c r="E11" s="4" t="str">
        <f t="shared" si="0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1"/>
        <v>221600</v>
      </c>
      <c r="E12" s="4" t="str">
        <f t="shared" si="0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1"/>
        <v>263200</v>
      </c>
      <c r="E13" s="4" t="str">
        <f t="shared" si="0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1"/>
        <v>318800</v>
      </c>
      <c r="E14" s="4" t="str">
        <f t="shared" si="0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1"/>
        <v>543800</v>
      </c>
      <c r="E15" s="4" t="str">
        <f t="shared" si="0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1"/>
        <v>0</v>
      </c>
      <c r="E16" s="4" t="str">
        <f t="shared" si="0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1"/>
        <v>818400</v>
      </c>
      <c r="E17" s="4" t="str">
        <f t="shared" si="0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1"/>
        <v>2771800</v>
      </c>
      <c r="E18" s="4" t="str">
        <f t="shared" si="0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1"/>
        <v>0</v>
      </c>
      <c r="E19" s="4" t="str">
        <f t="shared" si="0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1"/>
        <v>33400</v>
      </c>
      <c r="E20" s="4" t="str">
        <f t="shared" si="0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1"/>
        <v>40400</v>
      </c>
      <c r="E21" s="4" t="str">
        <f t="shared" si="0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1"/>
        <v>40600</v>
      </c>
      <c r="E22" s="4" t="str">
        <f t="shared" si="0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1"/>
        <v>46800</v>
      </c>
      <c r="E23" s="4" t="str">
        <f t="shared" si="0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1"/>
        <v>50400</v>
      </c>
      <c r="E24" s="4" t="str">
        <f t="shared" si="0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1"/>
        <v>51800</v>
      </c>
      <c r="E25" s="4" t="str">
        <f t="shared" si="0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1"/>
        <v>53800</v>
      </c>
      <c r="E26" s="4" t="str">
        <f t="shared" si="0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1"/>
        <v>54200</v>
      </c>
      <c r="E27" s="4" t="str">
        <f t="shared" si="0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1"/>
        <v>58400</v>
      </c>
      <c r="E28" s="4" t="str">
        <f t="shared" si="0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1"/>
        <v>58600</v>
      </c>
      <c r="E29" s="4" t="str">
        <f t="shared" si="0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1"/>
        <v>61400</v>
      </c>
      <c r="E30" s="4" t="str">
        <f t="shared" si="0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1"/>
        <v>88000</v>
      </c>
      <c r="E31" s="4" t="str">
        <f t="shared" si="0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1"/>
        <v>97400</v>
      </c>
      <c r="E32" s="4" t="str">
        <f t="shared" si="0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1"/>
        <v>113200</v>
      </c>
      <c r="E33" s="4" t="str">
        <f t="shared" si="0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1"/>
        <v>160400</v>
      </c>
      <c r="E34" s="4" t="str">
        <f t="shared" si="0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1"/>
        <v>315800</v>
      </c>
      <c r="E35" s="4" t="str">
        <f t="shared" si="0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1"/>
        <v>0</v>
      </c>
      <c r="E36" s="4" t="str">
        <f t="shared" si="0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1"/>
        <v>14000</v>
      </c>
      <c r="E37" s="4" t="str">
        <f t="shared" si="0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1"/>
        <v>20800</v>
      </c>
      <c r="E38" s="4" t="str">
        <f t="shared" si="0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1"/>
        <v>25400</v>
      </c>
      <c r="E39" s="4" t="str">
        <f t="shared" si="0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1"/>
        <v>32400</v>
      </c>
      <c r="E40" s="4" t="str">
        <f t="shared" si="0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1"/>
        <v>35800</v>
      </c>
      <c r="E41" s="4" t="str">
        <f t="shared" si="0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1"/>
        <v>37200</v>
      </c>
      <c r="E42" s="4" t="str">
        <f t="shared" si="0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1"/>
        <v>37200</v>
      </c>
      <c r="E43" s="4" t="str">
        <f t="shared" si="0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1"/>
        <v>40600</v>
      </c>
      <c r="E44" s="4" t="str">
        <f t="shared" si="0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1"/>
        <v>42400</v>
      </c>
      <c r="E45" s="4" t="str">
        <f t="shared" si="0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1"/>
        <v>44400</v>
      </c>
      <c r="E46" s="4" t="str">
        <f t="shared" si="0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1"/>
        <v>49000</v>
      </c>
      <c r="E47" s="4" t="str">
        <f t="shared" si="0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1"/>
        <v>50200</v>
      </c>
      <c r="E48" s="4" t="str">
        <f t="shared" si="0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1"/>
        <v>51400</v>
      </c>
      <c r="E49" s="4" t="str">
        <f t="shared" si="0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1"/>
        <v>53800</v>
      </c>
      <c r="E50" s="4" t="str">
        <f t="shared" si="0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1"/>
        <v>62800</v>
      </c>
      <c r="E51" s="4" t="str">
        <f t="shared" si="0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1"/>
        <v>65000</v>
      </c>
      <c r="E52" s="4" t="str">
        <f t="shared" si="0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1"/>
        <v>69400</v>
      </c>
      <c r="E53" s="4" t="str">
        <f t="shared" si="0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1"/>
        <v>73800</v>
      </c>
      <c r="E54" s="4" t="str">
        <f t="shared" si="0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1"/>
        <v>80400</v>
      </c>
      <c r="E55" s="4" t="str">
        <f t="shared" si="0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1"/>
        <v>94200</v>
      </c>
      <c r="E56" s="4" t="str">
        <f t="shared" si="0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1"/>
        <v>95200</v>
      </c>
      <c r="E57" s="4" t="str">
        <f t="shared" si="0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1"/>
        <v>98400</v>
      </c>
      <c r="E58" s="4" t="str">
        <f t="shared" si="0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1"/>
        <v>106200</v>
      </c>
      <c r="E59" s="4" t="str">
        <f t="shared" si="0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1"/>
        <v>110400</v>
      </c>
      <c r="E60" s="4" t="str">
        <f t="shared" si="0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1"/>
        <v>297400</v>
      </c>
      <c r="E61" s="4" t="str">
        <f t="shared" si="0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1"/>
        <v>0</v>
      </c>
      <c r="E62" s="4" t="str">
        <f t="shared" si="0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1"/>
        <v>20200</v>
      </c>
      <c r="E63" s="4" t="str">
        <f t="shared" si="0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1"/>
        <v>7600</v>
      </c>
      <c r="E64" s="4" t="str">
        <f t="shared" si="0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1"/>
        <v>27400</v>
      </c>
      <c r="E65" s="4" t="str">
        <f t="shared" si="0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1"/>
        <v>44400</v>
      </c>
      <c r="E66" s="4" t="str">
        <f t="shared" si="0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C67*20%</f>
        <v>100200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C131*20%</f>
        <v>19400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C195*20%</f>
        <v>2200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C259*20%</f>
        <v>45400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C323*20%</f>
        <v>16000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K8" sqref="K8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12.69921875" bestFit="1" customWidth="1"/>
    <col min="6" max="6" width="11.296875" bestFit="1" customWidth="1"/>
    <col min="7" max="7" width="14.296875" customWidth="1"/>
    <col min="8" max="8" width="8" customWidth="1"/>
    <col min="9" max="26" width="9.296875" customWidth="1"/>
  </cols>
  <sheetData>
    <row r="1" spans="1:26" ht="12.75" customHeight="1" x14ac:dyDescent="0.3">
      <c r="A1" s="6" t="s">
        <v>484</v>
      </c>
      <c r="B1" s="6" t="s">
        <v>485</v>
      </c>
      <c r="C1" s="6" t="s">
        <v>571</v>
      </c>
      <c r="D1" s="4"/>
      <c r="E1" s="4" t="s">
        <v>572</v>
      </c>
      <c r="F1" s="4" t="s">
        <v>573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>VLOOKUP(Table_1[[#This Row],[Column2]],$E$1:$F$5,2,FALSE)</f>
        <v>SUFFICIENTE</v>
      </c>
      <c r="D2" s="8"/>
      <c r="E2" s="8">
        <v>0</v>
      </c>
      <c r="F2" s="8" t="s">
        <v>577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>VLOOKUP(Table_1[[#This Row],[Column2]],$E$1:$F$5,2,FALSE)</f>
        <v>DISCRETO</v>
      </c>
      <c r="E3" s="8">
        <v>40</v>
      </c>
      <c r="F3" s="8" t="s">
        <v>575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>VLOOKUP(Table_1[[#This Row],[Column2]],$E$1:$F$5,2,FALSE)</f>
        <v>DISCRETO</v>
      </c>
      <c r="E4" s="8">
        <v>60</v>
      </c>
      <c r="F4" s="8" t="s">
        <v>576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>VLOOKUP(Table_1[[#This Row],[Column2]],$E$1:$F$5,2,FALSE)</f>
        <v>SUFFICIENTE</v>
      </c>
      <c r="E5" s="8">
        <v>70</v>
      </c>
      <c r="F5" s="8" t="s">
        <v>574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Row],[Column2]],$E$1:$F$5,2,FALSE)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Row],[Column2]],$E$1:$F$5,2,FALSE)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Row],[Column2]],$E$1:$F$5,2,FALSE)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I4" sqref="I4"/>
    </sheetView>
  </sheetViews>
  <sheetFormatPr defaultColWidth="14.3984375" defaultRowHeight="15" customHeight="1" x14ac:dyDescent="0.3"/>
  <cols>
    <col min="1" max="1" width="9.8984375" customWidth="1"/>
    <col min="2" max="2" width="28.296875" customWidth="1"/>
    <col min="3" max="3" width="21.296875" customWidth="1"/>
    <col min="4" max="4" width="18" customWidth="1"/>
    <col min="5" max="5" width="23.3984375" bestFit="1" customWidth="1"/>
    <col min="6" max="6" width="20.3984375" customWidth="1"/>
    <col min="7" max="7" width="37.09765625" customWidth="1"/>
    <col min="8" max="8" width="15.296875" bestFit="1" customWidth="1"/>
    <col min="9" max="9" width="26.69921875" bestFit="1" customWidth="1"/>
    <col min="10" max="11" width="8.69921875" customWidth="1"/>
    <col min="12" max="12" width="18.796875" customWidth="1"/>
    <col min="13" max="24" width="8.69921875" customWidth="1"/>
  </cols>
  <sheetData>
    <row r="1" spans="1:24" ht="13.5" customHeigh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 t="s">
        <v>578</v>
      </c>
      <c r="H1" s="11" t="s">
        <v>579</v>
      </c>
      <c r="I1" s="11" t="s">
        <v>581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COUNTIF(C:C,G2)</f>
        <v>11</v>
      </c>
      <c r="I2" s="16">
        <f>SUMIF(C:C,G2,D:D)</f>
        <v>611780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COUNTIF(C:C,G3)</f>
        <v>5</v>
      </c>
      <c r="I3" s="16">
        <f t="shared" ref="I3:I5" si="1">SUMIF(C:C,G3,D:D)</f>
        <v>30860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>COUNTIF(C:C,G4)</f>
        <v>4</v>
      </c>
      <c r="I4" s="16">
        <f t="shared" si="1"/>
        <v>54000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>COUNTIF(C:C,G5)</f>
        <v>4</v>
      </c>
      <c r="I5" s="16">
        <f t="shared" si="1"/>
        <v>6765600</v>
      </c>
      <c r="L5" s="15"/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</row>
    <row r="8" spans="1:24" ht="13.5" customHeight="1" x14ac:dyDescent="0.35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1" t="s">
        <v>580</v>
      </c>
      <c r="H8" s="11" t="s">
        <v>579</v>
      </c>
      <c r="I8" s="11" t="s">
        <v>581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t="s">
        <v>501</v>
      </c>
      <c r="H9">
        <f>COUNTIF(B:B,G9)</f>
        <v>2</v>
      </c>
      <c r="I9" s="16">
        <f>SUMIF(B:B,G9,D:D)</f>
        <v>73450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3" t="s">
        <v>507</v>
      </c>
      <c r="H10">
        <f t="shared" ref="H10:H15" si="2">COUNTIF(B:B,G10)</f>
        <v>1</v>
      </c>
      <c r="I10" s="16">
        <f t="shared" ref="I10:I15" si="3">SUMIF(B:B,G10,D:D)</f>
        <v>50800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3" t="s">
        <v>509</v>
      </c>
      <c r="H11">
        <f t="shared" si="2"/>
        <v>1</v>
      </c>
      <c r="I11" s="16">
        <f t="shared" si="3"/>
        <v>98450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13" t="s">
        <v>511</v>
      </c>
      <c r="H12">
        <f t="shared" si="2"/>
        <v>1</v>
      </c>
      <c r="I12" s="16">
        <f t="shared" si="3"/>
        <v>7950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13" t="s">
        <v>525</v>
      </c>
      <c r="H13">
        <f t="shared" si="2"/>
        <v>4</v>
      </c>
      <c r="I13" s="16">
        <f t="shared" si="3"/>
        <v>283000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13" t="s">
        <v>528</v>
      </c>
      <c r="H14">
        <f t="shared" si="2"/>
        <v>2</v>
      </c>
      <c r="I14" s="16">
        <f t="shared" si="3"/>
        <v>107700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s="13" t="s">
        <v>529</v>
      </c>
      <c r="H15">
        <f t="shared" si="2"/>
        <v>1</v>
      </c>
      <c r="I15" s="16">
        <f t="shared" si="3"/>
        <v>27270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autoFilter ref="A1:X80" xr:uid="{00000000-0001-0000-02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Biagio Fanara</cp:lastModifiedBy>
  <dcterms:created xsi:type="dcterms:W3CDTF">2005-04-12T12:35:30Z</dcterms:created>
  <dcterms:modified xsi:type="dcterms:W3CDTF">2026-02-14T14:15:10Z</dcterms:modified>
</cp:coreProperties>
</file>