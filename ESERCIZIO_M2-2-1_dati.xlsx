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CB68642-A3FA-4B0E-8EDB-8DB60BA98E2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odotti" sheetId="1" r:id="rId1"/>
  </sheets>
  <definedNames>
    <definedName name="_xlchart.v1.0" hidden="1">Prodotti!$A$2:$A$11</definedName>
    <definedName name="_xlchart.v1.1" hidden="1">Prodotti!$E$1</definedName>
    <definedName name="_xlchart.v1.2" hidden="1">Prodotti!$E$2:$E$11</definedName>
    <definedName name="_xlchart.v1.3" hidden="1">Prodotti!$A$2:$A$11</definedName>
    <definedName name="_xlchart.v1.4" hidden="1">Prodotti!$E$1</definedName>
    <definedName name="_xlchart.v1.5" hidden="1">Prodotti!$E$2:$E$11</definedName>
    <definedName name="_xlnm.Print_Area" localSheetId="0">Prodotti!$A$1:$E$11</definedName>
  </definedNames>
  <calcPr calcId="191029"/>
</workbook>
</file>

<file path=xl/calcChain.xml><?xml version="1.0" encoding="utf-8"?>
<calcChain xmlns="http://schemas.openxmlformats.org/spreadsheetml/2006/main">
  <c r="G3" i="1" l="1"/>
  <c r="G4" i="1"/>
  <c r="G5" i="1"/>
  <c r="G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<sst xmlns="http://schemas.openxmlformats.org/spreadsheetml/2006/main" count="31" uniqueCount="20">
  <si>
    <t>Azienda</t>
  </si>
  <si>
    <t>Prodotto</t>
  </si>
  <si>
    <t>Quantità</t>
  </si>
  <si>
    <t>Prezzo</t>
  </si>
  <si>
    <t>Totale</t>
  </si>
  <si>
    <t>Tech Innovations Ltd.</t>
  </si>
  <si>
    <t>Tecnologia</t>
  </si>
  <si>
    <t>Cibo</t>
  </si>
  <si>
    <t>SolarTech Solutions</t>
  </si>
  <si>
    <t>Pannelli</t>
  </si>
  <si>
    <t>Quanti</t>
  </si>
  <si>
    <t>Infinito</t>
  </si>
  <si>
    <t>AquaLux Dynamics</t>
  </si>
  <si>
    <t>Crema</t>
  </si>
  <si>
    <t>Acqua</t>
  </si>
  <si>
    <t>Orizzonte</t>
  </si>
  <si>
    <t>Pianeta</t>
  </si>
  <si>
    <t>EcoVibe Solutions</t>
  </si>
  <si>
    <t>Vibrazione</t>
  </si>
  <si>
    <t>Totale per azienda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</si>
</sst>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7" formatCode="#,##0.00\ &quot;€&quot;"/>
  </numFmts>
  <fonts count="4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67" fontId="2" fillId="0" borderId="0" xfId="0" applyNumberFormat="1" applyFont="1"/>
    <xf numFmtId="167" fontId="0" fillId="0" borderId="0" xfId="0" applyNumberFormat="1"/>
    <xf numFmtId="44" fontId="2" fillId="0" borderId="0" xfId="0" applyNumberFormat="1" applyFont="1"/>
    <xf numFmtId="44" fontId="0" fillId="0" borderId="0" xfId="0" applyNumberForma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7995844269466313"/>
          <c:y val="0.15288683602771364"/>
          <c:w val="0.78393044619422569"/>
          <c:h val="0.601522067247367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_("€"* #,##0.00_);_("€"* \(#,##0.00\);_("€"* "-"??_);_(@_)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A-47CD-9B46-3DE604DC3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7710480"/>
        <c:axId val="317722480"/>
      </c:barChart>
      <c:catAx>
        <c:axId val="31771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722480"/>
        <c:crosses val="autoZero"/>
        <c:auto val="1"/>
        <c:lblAlgn val="ctr"/>
        <c:lblOffset val="100"/>
        <c:noMultiLvlLbl val="0"/>
      </c:catAx>
      <c:valAx>
        <c:axId val="31772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1771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Prodotti!$G$1</c:f>
              <c:strCache>
                <c:ptCount val="1"/>
                <c:pt idx="0">
                  <c:v>Totale per azienda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Prodotti!$F$2:$F$5</c:f>
              <c:strCache>
                <c:ptCount val="4"/>
                <c:pt idx="0">
                  <c:v>Tech Innovations Ltd.</c:v>
                </c:pt>
                <c:pt idx="1">
                  <c:v>SolarTech Solutions</c:v>
                </c:pt>
                <c:pt idx="2">
                  <c:v>AquaLux Dynamics</c:v>
                </c:pt>
                <c:pt idx="3">
                  <c:v>EcoVibe Solutions</c:v>
                </c:pt>
              </c:strCache>
            </c:strRef>
          </c:cat>
          <c:val>
            <c:numRef>
              <c:f>Prodotti!$G$2:$G$5</c:f>
              <c:numCache>
                <c:formatCode>#,##0.00\ "€"</c:formatCode>
                <c:ptCount val="4"/>
                <c:pt idx="0">
                  <c:v>25575</c:v>
                </c:pt>
                <c:pt idx="1">
                  <c:v>31100</c:v>
                </c:pt>
                <c:pt idx="2">
                  <c:v>37725</c:v>
                </c:pt>
                <c:pt idx="3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9-4D5C-8E88-F682331D0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9861599"/>
        <c:axId val="1039858719"/>
      </c:barChart>
      <c:catAx>
        <c:axId val="103986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9858719"/>
        <c:crosses val="autoZero"/>
        <c:auto val="1"/>
        <c:lblAlgn val="ctr"/>
        <c:lblOffset val="100"/>
        <c:noMultiLvlLbl val="0"/>
      </c:catAx>
      <c:valAx>
        <c:axId val="103985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3986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9371259022878906"/>
          <c:y val="0.14861111111111111"/>
          <c:w val="0.78408060893845588"/>
          <c:h val="0.60059966462525516"/>
        </c:manualLayout>
      </c:layout>
      <c:lineChart>
        <c:grouping val="standard"/>
        <c:varyColors val="0"/>
        <c:ser>
          <c:idx val="0"/>
          <c:order val="0"/>
          <c:tx>
            <c:strRef>
              <c:f>Prodotti!$E$1</c:f>
              <c:strCache>
                <c:ptCount val="1"/>
                <c:pt idx="0">
                  <c:v>Totale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Prodotti!$B$2:$B$11</c:f>
              <c:strCache>
                <c:ptCount val="10"/>
                <c:pt idx="0">
                  <c:v>Tecnologia</c:v>
                </c:pt>
                <c:pt idx="1">
                  <c:v>Cibo</c:v>
                </c:pt>
                <c:pt idx="2">
                  <c:v>Pannelli</c:v>
                </c:pt>
                <c:pt idx="3">
                  <c:v>Quanti</c:v>
                </c:pt>
                <c:pt idx="4">
                  <c:v>Infinito</c:v>
                </c:pt>
                <c:pt idx="5">
                  <c:v>Crema</c:v>
                </c:pt>
                <c:pt idx="6">
                  <c:v>Acqua</c:v>
                </c:pt>
                <c:pt idx="7">
                  <c:v>Orizzonte</c:v>
                </c:pt>
                <c:pt idx="8">
                  <c:v>Pianeta</c:v>
                </c:pt>
                <c:pt idx="9">
                  <c:v>Vibrazione</c:v>
                </c:pt>
              </c:strCache>
            </c:strRef>
          </c:cat>
          <c:val>
            <c:numRef>
              <c:f>Prodotti!$E$2:$E$11</c:f>
              <c:numCache>
                <c:formatCode>_("€"* #,##0.00_);_("€"* \(#,##0.00\);_("€"* "-"??_);_(@_)</c:formatCode>
                <c:ptCount val="10"/>
                <c:pt idx="0">
                  <c:v>7875</c:v>
                </c:pt>
                <c:pt idx="1">
                  <c:v>10200</c:v>
                </c:pt>
                <c:pt idx="2">
                  <c:v>9800</c:v>
                </c:pt>
                <c:pt idx="3">
                  <c:v>7500</c:v>
                </c:pt>
                <c:pt idx="4">
                  <c:v>9750</c:v>
                </c:pt>
                <c:pt idx="5">
                  <c:v>13125</c:v>
                </c:pt>
                <c:pt idx="6">
                  <c:v>12600</c:v>
                </c:pt>
                <c:pt idx="7">
                  <c:v>11550</c:v>
                </c:pt>
                <c:pt idx="8">
                  <c:v>12000</c:v>
                </c:pt>
                <c:pt idx="9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2B-481E-BD8A-A684B9BDA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64959"/>
        <c:axId val="1264165439"/>
      </c:lineChart>
      <c:catAx>
        <c:axId val="126416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4165439"/>
        <c:crosses val="autoZero"/>
        <c:auto val="1"/>
        <c:lblAlgn val="ctr"/>
        <c:lblOffset val="100"/>
        <c:noMultiLvlLbl val="0"/>
      </c:catAx>
      <c:valAx>
        <c:axId val="12641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6416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36FE038F-ABE4-43C1-ABA6-6D5313A35CA2}">
          <cx:tx>
            <cx:txData>
              <cx:f>_xlchart.v1.4</cx:f>
              <cx:v>Totale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6724DC53-5B8F-4030-8387-8971720F8769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239280</xdr:colOff>
      <xdr:row>12</xdr:row>
      <xdr:rowOff>83415</xdr:rowOff>
    </xdr:from>
    <xdr:to>
      <xdr:col>5</xdr:col>
      <xdr:colOff>831273</xdr:colOff>
      <xdr:row>19</xdr:row>
      <xdr:rowOff>450273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34FDF314-0BBE-ADA9-AAC1-8A81E66A8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581026</xdr:colOff>
      <xdr:row>37</xdr:row>
      <xdr:rowOff>28294</xdr:rowOff>
    </xdr:from>
    <xdr:to>
      <xdr:col>5</xdr:col>
      <xdr:colOff>727364</xdr:colOff>
      <xdr:row>50</xdr:row>
      <xdr:rowOff>138545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afico 4">
              <a:extLst>
                <a:ext uri="{FF2B5EF4-FFF2-40B4-BE49-F238E27FC236}">
                  <a16:creationId xmlns:a16="http://schemas.microsoft.com/office/drawing/2014/main" id="{D2CA5614-D909-6485-BC04-6765DA07CE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6" y="7682930"/>
              <a:ext cx="4995429" cy="28118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0</xdr:col>
      <xdr:colOff>464093</xdr:colOff>
      <xdr:row>54</xdr:row>
      <xdr:rowOff>9306</xdr:rowOff>
    </xdr:from>
    <xdr:to>
      <xdr:col>7</xdr:col>
      <xdr:colOff>866774</xdr:colOff>
      <xdr:row>71</xdr:row>
      <xdr:rowOff>190500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6D21795D-C798-6E17-9244-98C830E24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112433</xdr:colOff>
      <xdr:row>21</xdr:row>
      <xdr:rowOff>50052</xdr:rowOff>
    </xdr:from>
    <xdr:to>
      <xdr:col>4</xdr:col>
      <xdr:colOff>770779</xdr:colOff>
      <xdr:row>34</xdr:row>
      <xdr:rowOff>194609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50776792-6D98-4341-F357-9E2552189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20"/>
  <sheetViews>
    <sheetView tabSelected="1" zoomScaleNormal="100" zoomScalePageLayoutView="55" workbookViewId="0">
      <selection activeCell="H10" sqref="H10"/>
    </sheetView>
  </sheetViews>
  <sheetFormatPr defaultColWidth="12.6328125" defaultRowHeight="15.75" customHeight="1" x14ac:dyDescent="0.25"/>
  <cols>
    <col min="1" max="1" width="19.7265625" customWidth="1"/>
    <col min="2" max="2" width="15.08984375" customWidth="1"/>
    <col min="3" max="3" width="9.90625" customWidth="1"/>
    <col min="4" max="4" width="11.1796875" customWidth="1"/>
    <col min="5" max="5" width="13.36328125" customWidth="1"/>
    <col min="6" max="6" width="18" customWidth="1"/>
    <col min="7" max="7" width="19.1796875" bestFit="1" customWidth="1"/>
  </cols>
  <sheetData>
    <row r="1" spans="1:26" ht="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0</v>
      </c>
      <c r="G1" s="8" t="s">
        <v>19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5</v>
      </c>
      <c r="B2" s="2" t="s">
        <v>6</v>
      </c>
      <c r="C2" s="3">
        <v>500</v>
      </c>
      <c r="D2" s="4">
        <v>15.75</v>
      </c>
      <c r="E2" s="7">
        <f>C2*D2</f>
        <v>7875</v>
      </c>
      <c r="F2" s="2" t="s">
        <v>5</v>
      </c>
      <c r="G2" s="5">
        <f>SUMIFS(E2:E11,A2:A11,F2)</f>
        <v>25575</v>
      </c>
    </row>
    <row r="3" spans="1:26" ht="15.75" customHeight="1" x14ac:dyDescent="0.25">
      <c r="A3" s="2" t="s">
        <v>5</v>
      </c>
      <c r="B3" s="2" t="s">
        <v>7</v>
      </c>
      <c r="C3" s="3">
        <v>1200</v>
      </c>
      <c r="D3" s="6">
        <v>8.5</v>
      </c>
      <c r="E3" s="7">
        <f t="shared" ref="E3:E11" si="0">C3*D3</f>
        <v>10200</v>
      </c>
      <c r="F3" s="2" t="s">
        <v>8</v>
      </c>
      <c r="G3" s="5">
        <f t="shared" ref="G3:G5" si="1">SUMIFS(E3:E12,A3:A12,F3)</f>
        <v>31100</v>
      </c>
    </row>
    <row r="4" spans="1:26" ht="15.75" customHeight="1" x14ac:dyDescent="0.25">
      <c r="A4" s="2" t="s">
        <v>8</v>
      </c>
      <c r="B4" s="2" t="s">
        <v>9</v>
      </c>
      <c r="C4" s="3">
        <v>800</v>
      </c>
      <c r="D4" s="6">
        <v>12.25</v>
      </c>
      <c r="E4" s="7">
        <f t="shared" si="0"/>
        <v>9800</v>
      </c>
      <c r="F4" s="2" t="s">
        <v>12</v>
      </c>
      <c r="G4" s="5">
        <f t="shared" si="1"/>
        <v>37725</v>
      </c>
    </row>
    <row r="5" spans="1:26" ht="15.75" customHeight="1" x14ac:dyDescent="0.25">
      <c r="A5" s="2" t="s">
        <v>5</v>
      </c>
      <c r="B5" s="2" t="s">
        <v>10</v>
      </c>
      <c r="C5" s="3">
        <v>300</v>
      </c>
      <c r="D5" s="6">
        <v>25</v>
      </c>
      <c r="E5" s="7">
        <f t="shared" si="0"/>
        <v>7500</v>
      </c>
      <c r="F5" s="2" t="s">
        <v>17</v>
      </c>
      <c r="G5" s="5">
        <f t="shared" si="1"/>
        <v>13500</v>
      </c>
    </row>
    <row r="6" spans="1:26" ht="15.75" customHeight="1" x14ac:dyDescent="0.25">
      <c r="A6" s="2" t="s">
        <v>8</v>
      </c>
      <c r="B6" s="2" t="s">
        <v>11</v>
      </c>
      <c r="C6" s="3">
        <v>1500</v>
      </c>
      <c r="D6" s="6">
        <v>6.5</v>
      </c>
      <c r="E6" s="7">
        <f t="shared" si="0"/>
        <v>9750</v>
      </c>
    </row>
    <row r="7" spans="1:26" ht="15.75" customHeight="1" x14ac:dyDescent="0.25">
      <c r="A7" s="2" t="s">
        <v>12</v>
      </c>
      <c r="B7" s="2" t="s">
        <v>13</v>
      </c>
      <c r="C7" s="3">
        <v>700</v>
      </c>
      <c r="D7" s="6">
        <v>18.75</v>
      </c>
      <c r="E7" s="7">
        <f t="shared" si="0"/>
        <v>13125</v>
      </c>
    </row>
    <row r="8" spans="1:26" ht="15.75" customHeight="1" x14ac:dyDescent="0.25">
      <c r="A8" s="2" t="s">
        <v>12</v>
      </c>
      <c r="B8" s="2" t="s">
        <v>14</v>
      </c>
      <c r="C8" s="3">
        <v>900</v>
      </c>
      <c r="D8" s="6">
        <v>14</v>
      </c>
      <c r="E8" s="7">
        <f t="shared" si="0"/>
        <v>12600</v>
      </c>
    </row>
    <row r="9" spans="1:26" ht="15.75" customHeight="1" x14ac:dyDescent="0.25">
      <c r="A9" s="2" t="s">
        <v>8</v>
      </c>
      <c r="B9" s="2" t="s">
        <v>15</v>
      </c>
      <c r="C9" s="3">
        <v>1100</v>
      </c>
      <c r="D9" s="6">
        <v>10.5</v>
      </c>
      <c r="E9" s="7">
        <f t="shared" si="0"/>
        <v>11550</v>
      </c>
    </row>
    <row r="10" spans="1:26" ht="15.75" customHeight="1" x14ac:dyDescent="0.25">
      <c r="A10" s="2" t="s">
        <v>12</v>
      </c>
      <c r="B10" s="2" t="s">
        <v>16</v>
      </c>
      <c r="C10" s="3">
        <v>600</v>
      </c>
      <c r="D10" s="6">
        <v>20</v>
      </c>
      <c r="E10" s="7">
        <f t="shared" si="0"/>
        <v>12000</v>
      </c>
    </row>
    <row r="11" spans="1:26" ht="15.75" customHeight="1" x14ac:dyDescent="0.25">
      <c r="A11" s="2" t="s">
        <v>17</v>
      </c>
      <c r="B11" s="2" t="s">
        <v>18</v>
      </c>
      <c r="C11" s="3">
        <v>1000</v>
      </c>
      <c r="D11" s="6">
        <v>13.5</v>
      </c>
      <c r="E11" s="7">
        <f t="shared" si="0"/>
        <v>13500</v>
      </c>
    </row>
    <row r="13" spans="1:26" ht="40.5" customHeight="1" x14ac:dyDescent="0.25"/>
    <row r="14" spans="1:26" ht="40.5" customHeight="1" x14ac:dyDescent="0.25"/>
    <row r="15" spans="1:26" ht="40.5" customHeight="1" x14ac:dyDescent="0.25"/>
    <row r="16" spans="1:26" ht="40.5" customHeight="1" x14ac:dyDescent="0.25"/>
    <row r="17" ht="40.5" customHeight="1" x14ac:dyDescent="0.25"/>
    <row r="18" ht="40.5" customHeight="1" x14ac:dyDescent="0.25"/>
    <row r="19" ht="40.5" customHeight="1" x14ac:dyDescent="0.25"/>
    <row r="20" ht="40.5" customHeight="1" x14ac:dyDescent="0.25"/>
  </sheetData>
  <printOptions verticalCentered="1"/>
  <pageMargins left="0.19685039370078741" right="0.19685039370078741" top="0.39370078740157483" bottom="0.39370078740157483" header="0.19685039370078741" footer="0.31496062992125984"/>
  <pageSetup orientation="portrait" r:id="rId1"/>
  <headerFooter differentOddEven="1" differentFirst="1">
    <oddHeader>&amp;CGrafico</oddHeader>
    <oddFooter>Pagina &amp;P</oddFooter>
    <evenHeader>&amp;CGrafico aziende</evenHeader>
    <firstHeader>&amp;CSpese recenti</firstHeader>
    <firstFooter>Pagina &amp;P</firstFooter>
  </headerFooter>
  <rowBreaks count="3" manualBreakCount="3">
    <brk id="12" max="16383" man="1"/>
    <brk id="20" max="16383" man="1"/>
    <brk id="3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Biagio Fanara</cp:lastModifiedBy>
  <cp:lastPrinted>2026-02-28T15:34:02Z</cp:lastPrinted>
  <dcterms:modified xsi:type="dcterms:W3CDTF">2026-02-28T15:37:04Z</dcterms:modified>
</cp:coreProperties>
</file>